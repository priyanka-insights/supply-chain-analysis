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1005f66311340b/Desktop/new project/"/>
    </mc:Choice>
  </mc:AlternateContent>
  <xr:revisionPtr revIDLastSave="298" documentId="8_{ABE0D8DA-7273-41A8-956C-AD6C84CEFDF2}" xr6:coauthVersionLast="47" xr6:coauthVersionMax="47" xr10:uidLastSave="{4231E686-58A2-404C-9F60-C9C4E3056C53}"/>
  <bookViews>
    <workbookView xWindow="-108" yWindow="-108" windowWidth="23256" windowHeight="12456" activeTab="1" xr2:uid="{946139BC-B1F6-4410-AADF-B70D4F476F93}"/>
  </bookViews>
  <sheets>
    <sheet name="Data Summary" sheetId="5" r:id="rId1"/>
    <sheet name="FinCalc" sheetId="2" r:id="rId2"/>
    <sheet name="Scenario Comparison" sheetId="3" r:id="rId3"/>
    <sheet name="Recommendation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D8" i="3" s="1"/>
  <c r="C8" i="3"/>
  <c r="C7" i="3"/>
  <c r="C6" i="3"/>
  <c r="C5" i="3"/>
  <c r="B12" i="2"/>
  <c r="B13" i="2" s="1"/>
  <c r="B14" i="2" s="1"/>
  <c r="B9" i="2"/>
  <c r="B8" i="2"/>
  <c r="D5" i="3" l="1"/>
  <c r="D6" i="3"/>
  <c r="D7" i="3"/>
</calcChain>
</file>

<file path=xl/sharedStrings.xml><?xml version="1.0" encoding="utf-8"?>
<sst xmlns="http://schemas.openxmlformats.org/spreadsheetml/2006/main" count="53" uniqueCount="52">
  <si>
    <t>Supply Chain Delay Analysis — Data Summary</t>
  </si>
  <si>
    <t>Metric</t>
  </si>
  <si>
    <t>Value</t>
  </si>
  <si>
    <t>Total Orders</t>
  </si>
  <si>
    <t>Delivered On Time</t>
  </si>
  <si>
    <t>Delayed Orders</t>
  </si>
  <si>
    <t>Delay Rate %</t>
  </si>
  <si>
    <t>Avg Delay Days</t>
  </si>
  <si>
    <t>Max Delay Days</t>
  </si>
  <si>
    <t>Total Penalty Cost (R$)</t>
  </si>
  <si>
    <t>Avg Review — On Time</t>
  </si>
  <si>
    <t>Avg Review — Delayed</t>
  </si>
  <si>
    <t>Festive Delay Rate %</t>
  </si>
  <si>
    <t>Normal Delay Rate %</t>
  </si>
  <si>
    <t>Financial Impact Calculator</t>
  </si>
  <si>
    <t>INPUT SECTION</t>
  </si>
  <si>
    <t>Current Delay Rate %</t>
  </si>
  <si>
    <t>CALCULATED SECTION</t>
  </si>
  <si>
    <t>Penalty per Order (R$)</t>
  </si>
  <si>
    <t>Current Delayed Orders</t>
  </si>
  <si>
    <t>Current Annual Loss (R$)</t>
  </si>
  <si>
    <t>TARGET SECTION</t>
  </si>
  <si>
    <t>Target Delay Rate %</t>
  </si>
  <si>
    <t>New Delayed Orders</t>
  </si>
  <si>
    <t>Projected Annual Loss (R$)</t>
  </si>
  <si>
    <t>Annual Savings (R$)</t>
  </si>
  <si>
    <t>Scenario Comparison Table</t>
  </si>
  <si>
    <t>Scenario</t>
  </si>
  <si>
    <t>Target Rate %</t>
  </si>
  <si>
    <t>Annual Loss (R$)</t>
  </si>
  <si>
    <t>Savings (R$)</t>
  </si>
  <si>
    <t>Base Case (No Change)</t>
  </si>
  <si>
    <t>Fix Top 3 States</t>
  </si>
  <si>
    <t>Reduce Festive Delays</t>
  </si>
  <si>
    <t>Combined A+B</t>
  </si>
  <si>
    <t>Best Case</t>
  </si>
  <si>
    <t xml:space="preserve">     Recommendations</t>
  </si>
  <si>
    <t xml:space="preserve">Priority </t>
  </si>
  <si>
    <t>Recommendation</t>
  </si>
  <si>
    <t>Expected Impact</t>
  </si>
  <si>
    <t>R$25,766 savings</t>
  </si>
  <si>
    <t>R$18,487 savings</t>
  </si>
  <si>
    <t>Proactive recovery</t>
  </si>
  <si>
    <t>Category improvement</t>
  </si>
  <si>
    <t>Fix top 3 delay states (SP, RJ, MG)</t>
  </si>
  <si>
    <t>Pre-position inventory before Nov-Dec</t>
  </si>
  <si>
    <t>SLA breach alerts for delay_days &gt; 3</t>
  </si>
  <si>
    <t>Audit high delay sellers</t>
  </si>
  <si>
    <t>1 — Critical</t>
  </si>
  <si>
    <t>2 — High</t>
  </si>
  <si>
    <t>3 — High</t>
  </si>
  <si>
    <t>4 —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</si>
</sst>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10" fontId="0" fillId="4" borderId="0" xfId="0" applyNumberFormat="1" applyFill="1"/>
    <xf numFmtId="2" fontId="0" fillId="0" borderId="0" xfId="0" applyNumberFormat="1"/>
    <xf numFmtId="2" fontId="4" fillId="0" borderId="0" xfId="0" applyNumberFormat="1" applyFont="1"/>
    <xf numFmtId="2" fontId="0" fillId="5" borderId="0" xfId="0" applyNumberFormat="1" applyFill="1"/>
    <xf numFmtId="2" fontId="0" fillId="6" borderId="0" xfId="0" applyNumberFormat="1" applyFill="1"/>
    <xf numFmtId="0" fontId="6" fillId="0" borderId="0" xfId="0" applyFont="1"/>
    <xf numFmtId="0" fontId="0" fillId="7" borderId="0" xfId="0" applyFill="1"/>
    <xf numFmtId="0" fontId="0" fillId="8" borderId="0" xfId="0" applyFill="1"/>
    <xf numFmtId="0" fontId="2" fillId="2" borderId="0" xfId="0" applyFont="1" applyFill="1" applyAlignment="1">
      <alignment horizontal="left" indent="4"/>
    </xf>
    <xf numFmtId="0" fontId="2" fillId="2" borderId="0" xfId="0" applyFont="1" applyFill="1" applyAlignment="1">
      <alignment horizontal="left" indent="10"/>
    </xf>
    <xf numFmtId="0" fontId="2" fillId="2" borderId="0" xfId="0" applyFont="1" applyFill="1" applyAlignment="1">
      <alignment horizontal="left" indent="14"/>
    </xf>
    <xf numFmtId="0" fontId="0" fillId="2" borderId="0" xfId="0" applyFill="1" applyAlignment="1">
      <alignment horizontal="left" indent="4"/>
    </xf>
    <xf numFmtId="0" fontId="6" fillId="0" borderId="0" xfId="0" applyFont="1" applyAlignment="1">
      <alignment vertical="center" wrapText="1"/>
    </xf>
    <xf numFmtId="1" fontId="0" fillId="0" borderId="0" xfId="0" applyNumberFormat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5BAA-402B-480B-B879-374EF0D26B78}">
  <dimension ref="A1:D14"/>
  <sheetViews>
    <sheetView workbookViewId="0">
      <selection activeCell="F25" sqref="F25"/>
    </sheetView>
  </sheetViews>
  <sheetFormatPr defaultRowHeight="14.4"/>
  <cols>
    <col min="1" max="1" width="20.88671875" customWidth="1"/>
    <col min="2" max="2" width="13.109375" customWidth="1"/>
  </cols>
  <sheetData>
    <row r="1" spans="1:4" ht="18">
      <c r="A1" s="6" t="s">
        <v>0</v>
      </c>
      <c r="B1" s="5"/>
      <c r="C1" s="5"/>
      <c r="D1" s="5"/>
    </row>
    <row r="2" spans="1:4" ht="15.6">
      <c r="A2" s="7"/>
      <c r="B2" s="7"/>
    </row>
    <row r="3" spans="1:4">
      <c r="A3" s="21" t="s">
        <v>1</v>
      </c>
      <c r="B3" s="21" t="s">
        <v>2</v>
      </c>
    </row>
    <row r="4" spans="1:4">
      <c r="A4" s="1" t="s">
        <v>3</v>
      </c>
      <c r="B4" s="1">
        <v>96470</v>
      </c>
    </row>
    <row r="5" spans="1:4">
      <c r="A5" s="1" t="s">
        <v>4</v>
      </c>
      <c r="B5" s="1">
        <v>89936</v>
      </c>
    </row>
    <row r="6" spans="1:4">
      <c r="A6" s="1" t="s">
        <v>5</v>
      </c>
      <c r="B6" s="1">
        <v>6534</v>
      </c>
    </row>
    <row r="7" spans="1:4">
      <c r="A7" s="1" t="s">
        <v>6</v>
      </c>
      <c r="B7" s="3">
        <v>6.7699999999999996E-2</v>
      </c>
    </row>
    <row r="8" spans="1:4">
      <c r="A8" s="1" t="s">
        <v>7</v>
      </c>
      <c r="B8" s="1">
        <v>10.6</v>
      </c>
    </row>
    <row r="9" spans="1:4">
      <c r="A9" s="1" t="s">
        <v>8</v>
      </c>
      <c r="B9" s="1">
        <v>188</v>
      </c>
    </row>
    <row r="10" spans="1:4">
      <c r="A10" s="1" t="s">
        <v>9</v>
      </c>
      <c r="B10" s="1">
        <v>98592.43</v>
      </c>
    </row>
    <row r="11" spans="1:4">
      <c r="A11" s="1" t="s">
        <v>10</v>
      </c>
      <c r="B11" s="1">
        <v>4.29</v>
      </c>
    </row>
    <row r="12" spans="1:4">
      <c r="A12" s="1" t="s">
        <v>11</v>
      </c>
      <c r="B12" s="1">
        <v>2.27</v>
      </c>
    </row>
    <row r="13" spans="1:4">
      <c r="A13" s="1" t="s">
        <v>12</v>
      </c>
      <c r="B13" s="3">
        <v>0.1027</v>
      </c>
    </row>
    <row r="14" spans="1:4">
      <c r="A14" s="1" t="s">
        <v>13</v>
      </c>
      <c r="B14" s="3">
        <v>6.2399999999999997E-2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80E2-1907-4D6F-801B-DE8CF5261042}">
  <dimension ref="A1:B14"/>
  <sheetViews>
    <sheetView tabSelected="1" workbookViewId="0">
      <selection activeCell="B8" sqref="B8"/>
    </sheetView>
  </sheetViews>
  <sheetFormatPr defaultRowHeight="14.4"/>
  <cols>
    <col min="1" max="1" width="26.44140625" customWidth="1"/>
    <col min="2" max="2" width="11.77734375" customWidth="1"/>
  </cols>
  <sheetData>
    <row r="1" spans="1:2" ht="18">
      <c r="A1" s="17" t="s">
        <v>14</v>
      </c>
      <c r="B1" s="20"/>
    </row>
    <row r="3" spans="1:2">
      <c r="A3" s="14" t="s">
        <v>15</v>
      </c>
    </row>
    <row r="4" spans="1:2">
      <c r="A4" t="s">
        <v>3</v>
      </c>
      <c r="B4" s="8">
        <v>96470</v>
      </c>
    </row>
    <row r="5" spans="1:2">
      <c r="A5" t="s">
        <v>16</v>
      </c>
      <c r="B5" s="9">
        <v>6.7699999999999996E-2</v>
      </c>
    </row>
    <row r="6" spans="1:2">
      <c r="A6" t="s">
        <v>18</v>
      </c>
      <c r="B6" s="8">
        <v>15.09</v>
      </c>
    </row>
    <row r="7" spans="1:2">
      <c r="A7" s="14" t="s">
        <v>17</v>
      </c>
    </row>
    <row r="8" spans="1:2">
      <c r="A8" t="s">
        <v>19</v>
      </c>
      <c r="B8" s="22">
        <f>B4*B5</f>
        <v>6531.0189999999993</v>
      </c>
    </row>
    <row r="9" spans="1:2">
      <c r="A9" t="s">
        <v>20</v>
      </c>
      <c r="B9" s="10">
        <f>B8*B6</f>
        <v>98553.076709999994</v>
      </c>
    </row>
    <row r="10" spans="1:2">
      <c r="A10" s="14" t="s">
        <v>21</v>
      </c>
    </row>
    <row r="11" spans="1:2">
      <c r="A11" t="s">
        <v>22</v>
      </c>
      <c r="B11" s="9">
        <v>0.04</v>
      </c>
    </row>
    <row r="12" spans="1:2">
      <c r="A12" t="s">
        <v>23</v>
      </c>
      <c r="B12">
        <f>B4*B11</f>
        <v>3858.8</v>
      </c>
    </row>
    <row r="13" spans="1:2">
      <c r="A13" t="s">
        <v>24</v>
      </c>
      <c r="B13" s="10">
        <f>B12*B6</f>
        <v>58229.292000000001</v>
      </c>
    </row>
    <row r="14" spans="1:2">
      <c r="A14" t="s">
        <v>25</v>
      </c>
      <c r="B14" s="23">
        <f>B9-B13</f>
        <v>40323.784709999993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9169-C004-4961-8DA3-5CDB10E6AC08}">
  <dimension ref="A1:D10"/>
  <sheetViews>
    <sheetView workbookViewId="0">
      <selection activeCell="C13" sqref="C13"/>
    </sheetView>
  </sheetViews>
  <sheetFormatPr defaultRowHeight="14.4"/>
  <cols>
    <col min="1" max="1" width="20.21875" customWidth="1"/>
    <col min="2" max="2" width="12.77734375" customWidth="1"/>
    <col min="3" max="3" width="15.33203125" customWidth="1"/>
    <col min="4" max="4" width="12.109375" customWidth="1"/>
  </cols>
  <sheetData>
    <row r="1" spans="1:4" ht="18">
      <c r="A1" s="19" t="s">
        <v>26</v>
      </c>
      <c r="B1" s="19"/>
      <c r="C1" s="5"/>
      <c r="D1" s="5"/>
    </row>
    <row r="3" spans="1:4">
      <c r="A3" s="14" t="s">
        <v>27</v>
      </c>
      <c r="B3" s="14" t="s">
        <v>28</v>
      </c>
      <c r="C3" s="14" t="s">
        <v>29</v>
      </c>
      <c r="D3" s="14" t="s">
        <v>30</v>
      </c>
    </row>
    <row r="4" spans="1:4">
      <c r="A4" t="s">
        <v>31</v>
      </c>
      <c r="B4" s="2">
        <v>6.7699999999999996E-2</v>
      </c>
      <c r="C4" s="10">
        <f>FinCalc!B4*'Scenario Comparison'!B4*FinCalc!B6</f>
        <v>98553.076709999994</v>
      </c>
      <c r="D4" s="10">
        <v>0</v>
      </c>
    </row>
    <row r="5" spans="1:4">
      <c r="A5" t="s">
        <v>32</v>
      </c>
      <c r="B5" s="2">
        <v>0.05</v>
      </c>
      <c r="C5" s="11">
        <f>FinCalc!B4*'Scenario Comparison'!B5*FinCalc!B6</f>
        <v>72786.615000000005</v>
      </c>
      <c r="D5" s="10">
        <f>C4-C5</f>
        <v>25766.461709999989</v>
      </c>
    </row>
    <row r="6" spans="1:4">
      <c r="A6" t="s">
        <v>33</v>
      </c>
      <c r="B6" s="2">
        <v>5.5E-2</v>
      </c>
      <c r="C6" s="10">
        <f>FinCalc!B4*'Scenario Comparison'!B6*FinCalc!B6</f>
        <v>80065.276500000007</v>
      </c>
      <c r="D6" s="10">
        <f>C4-C6</f>
        <v>18487.800209999987</v>
      </c>
    </row>
    <row r="7" spans="1:4">
      <c r="A7" t="s">
        <v>34</v>
      </c>
      <c r="B7" s="2">
        <v>0.04</v>
      </c>
      <c r="C7" s="10">
        <f>FinCalc!B4*'Scenario Comparison'!B7*FinCalc!B6</f>
        <v>58229.292000000001</v>
      </c>
      <c r="D7" s="12">
        <f>C4-C7</f>
        <v>40323.784709999993</v>
      </c>
    </row>
    <row r="8" spans="1:4">
      <c r="A8" t="s">
        <v>35</v>
      </c>
      <c r="B8" s="2">
        <v>0.03</v>
      </c>
      <c r="C8" s="10">
        <f>FinCalc!B4*'Scenario Comparison'!B8*FinCalc!B6</f>
        <v>43671.968999999997</v>
      </c>
      <c r="D8" s="13">
        <f>C4- C8</f>
        <v>54881.107709999997</v>
      </c>
    </row>
    <row r="10" spans="1:4">
      <c r="C1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8A87-A0D8-4010-A36B-A194B3610584}">
  <dimension ref="A1:C7"/>
  <sheetViews>
    <sheetView workbookViewId="0">
      <selection activeCell="B26" sqref="B26"/>
    </sheetView>
  </sheetViews>
  <sheetFormatPr defaultRowHeight="14.4"/>
  <cols>
    <col min="1" max="1" width="13.21875" customWidth="1"/>
    <col min="2" max="2" width="34.33203125" customWidth="1"/>
    <col min="3" max="3" width="21.33203125" customWidth="1"/>
  </cols>
  <sheetData>
    <row r="1" spans="1:3" ht="18">
      <c r="A1" s="18" t="s">
        <v>36</v>
      </c>
      <c r="B1" s="18"/>
    </row>
    <row r="3" spans="1:3">
      <c r="A3" s="14" t="s">
        <v>37</v>
      </c>
      <c r="B3" s="14" t="s">
        <v>38</v>
      </c>
      <c r="C3" s="14" t="s">
        <v>39</v>
      </c>
    </row>
    <row r="4" spans="1:3">
      <c r="A4" s="15" t="s">
        <v>48</v>
      </c>
      <c r="B4" t="s">
        <v>44</v>
      </c>
      <c r="C4" t="s">
        <v>40</v>
      </c>
    </row>
    <row r="5" spans="1:3">
      <c r="A5" s="16" t="s">
        <v>49</v>
      </c>
      <c r="B5" t="s">
        <v>45</v>
      </c>
      <c r="C5" t="s">
        <v>41</v>
      </c>
    </row>
    <row r="6" spans="1:3">
      <c r="A6" s="16" t="s">
        <v>50</v>
      </c>
      <c r="B6" t="s">
        <v>46</v>
      </c>
      <c r="C6" t="s">
        <v>42</v>
      </c>
    </row>
    <row r="7" spans="1:3">
      <c r="A7" s="8" t="s">
        <v>51</v>
      </c>
      <c r="B7" t="s">
        <v>47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Summary</vt:lpstr>
      <vt:lpstr>FinCalc</vt:lpstr>
      <vt:lpstr>Scenario Comparison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Jagat Attri</dc:creator>
  <cp:lastModifiedBy>Jagat Attri</cp:lastModifiedBy>
  <dcterms:created xsi:type="dcterms:W3CDTF">2026-03-10T16:16:26Z</dcterms:created>
  <dcterms:modified xsi:type="dcterms:W3CDTF">2026-03-10T20:31:56Z</dcterms:modified>
</cp:coreProperties>
</file>